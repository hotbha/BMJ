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X:\BMJ\docs\business-requirements\"/>
    </mc:Choice>
  </mc:AlternateContent>
  <xr:revisionPtr revIDLastSave="0" documentId="13_ncr:1_{8A9B96CD-3C64-485E-BD2A-E3EE046A93D5}" xr6:coauthVersionLast="47" xr6:coauthVersionMax="47" xr10:uidLastSave="{00000000-0000-0000-0000-000000000000}"/>
  <bookViews>
    <workbookView xWindow="-98" yWindow="-98" windowWidth="21795" windowHeight="12975" tabRatio="473" activeTab="1" xr2:uid="{00000000-000D-0000-FFFF-FFFF00000000}"/>
  </bookViews>
  <sheets>
    <sheet name="Pricing" sheetId="1" r:id="rId1"/>
    <sheet name="Famili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K4" i="1"/>
  <c r="J5" i="1"/>
  <c r="K5" i="1"/>
  <c r="J6" i="1"/>
  <c r="K6" i="1"/>
  <c r="J7" i="1"/>
  <c r="K7" i="1"/>
  <c r="J8" i="1"/>
  <c r="K8" i="1"/>
  <c r="J9" i="1"/>
  <c r="K9" i="1"/>
  <c r="J10" i="1"/>
  <c r="K10" i="1"/>
  <c r="J3" i="1"/>
  <c r="K3" i="1"/>
  <c r="K2" i="1"/>
  <c r="J2" i="1"/>
  <c r="I10" i="1"/>
  <c r="H10" i="1"/>
  <c r="I9" i="1"/>
  <c r="H9" i="1"/>
  <c r="C9" i="1"/>
  <c r="I8" i="1"/>
  <c r="H8" i="1"/>
  <c r="I7" i="1"/>
  <c r="H7" i="1"/>
  <c r="C7" i="1"/>
  <c r="C10" i="1" s="1"/>
  <c r="I6" i="1"/>
  <c r="H6" i="1"/>
  <c r="C6" i="1"/>
  <c r="I5" i="1"/>
  <c r="H5" i="1"/>
  <c r="C5" i="1"/>
  <c r="C8" i="1" s="1"/>
  <c r="I4" i="1"/>
  <c r="H4" i="1"/>
  <c r="I3" i="1"/>
  <c r="H3" i="1"/>
  <c r="I2" i="1"/>
  <c r="H2" i="1"/>
</calcChain>
</file>

<file path=xl/sharedStrings.xml><?xml version="1.0" encoding="utf-8"?>
<sst xmlns="http://schemas.openxmlformats.org/spreadsheetml/2006/main" count="48" uniqueCount="34">
  <si>
    <t>Category</t>
  </si>
  <si>
    <t>Size</t>
  </si>
  <si>
    <t>Regular price
per bottle (Rs.)</t>
  </si>
  <si>
    <t>Weekly Subscription
(6 days) price per bottle</t>
  </si>
  <si>
    <t>Monthly Subscription
(4 weeks) price per bottle</t>
  </si>
  <si>
    <t>Weekly Subscription
(6 days) total cost</t>
  </si>
  <si>
    <t>Monthly Subscription
(4 weeks) total cost</t>
  </si>
  <si>
    <t>Delight</t>
  </si>
  <si>
    <t>200ml</t>
  </si>
  <si>
    <t>300ml</t>
  </si>
  <si>
    <t>500ml</t>
  </si>
  <si>
    <t>Signature</t>
  </si>
  <si>
    <t>Permium</t>
  </si>
  <si>
    <t>Premium</t>
  </si>
  <si>
    <t>Mix Punch</t>
  </si>
  <si>
    <t>ABC Juice</t>
  </si>
  <si>
    <t>Bloody Red</t>
  </si>
  <si>
    <t>Carrot Juice</t>
  </si>
  <si>
    <t>Pineapple</t>
  </si>
  <si>
    <t>Antioxidant Juice</t>
  </si>
  <si>
    <t>Colon Cleanser</t>
  </si>
  <si>
    <t>Amla Juice</t>
  </si>
  <si>
    <t>Wheatgrass Juice</t>
  </si>
  <si>
    <t>Beat the heat</t>
  </si>
  <si>
    <t>Ashguard Juice</t>
  </si>
  <si>
    <t>Coconut Milk</t>
  </si>
  <si>
    <t>winter special</t>
  </si>
  <si>
    <t>Citrus Juice</t>
  </si>
  <si>
    <t>Detox Smoothie</t>
  </si>
  <si>
    <t>Note</t>
  </si>
  <si>
    <t>1. User can select a plan like Delight (200ml), then presented with a screen to select (via multi-check boxex) various juices on day-wise basis (Monday to Saturday)</t>
  </si>
  <si>
    <t>Weekly Subscription
(6 days) total cost with 2.5% overhead</t>
  </si>
  <si>
    <t>Monthly Subscription
(4 weeks) total cost with 2.5% overhead</t>
  </si>
  <si>
    <t>2. All products in one-family and one-size have same pricing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</si>
</sst>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1" fontId="1" fillId="0" borderId="1" xfId="0" applyNumberFormat="1" applyFont="1" applyBorder="1" applyAlignment="1">
      <alignment horizontal="center"/>
    </xf>
    <xf numFmtId="0" fontId="1" fillId="2" borderId="1" xfId="0" applyFont="1" applyFill="1" applyBorder="1"/>
    <xf numFmtId="0" fontId="2" fillId="0" borderId="1" xfId="0" applyFont="1" applyBorder="1" applyAlignment="1">
      <alignment horizontal="center" vertical="center" wrapText="1"/>
    </xf>
    <xf numFmtId="0" fontId="1" fillId="3" borderId="1" xfId="0" applyFont="1" applyFill="1" applyBorder="1"/>
    <xf numFmtId="0" fontId="0" fillId="0" borderId="1" xfId="0" applyBorder="1"/>
    <xf numFmtId="0" fontId="1" fillId="0" borderId="1" xfId="0" applyFont="1" applyBorder="1" applyAlignment="1">
      <alignment vertical="center"/>
    </xf>
    <xf numFmtId="1" fontId="0" fillId="0" borderId="1" xfId="0" applyNumberFormat="1" applyBorder="1"/>
    <xf numFmtId="1" fontId="0" fillId="2" borderId="1" xfId="0" applyNumberFormat="1" applyFill="1" applyBorder="1"/>
    <xf numFmtId="1" fontId="0" fillId="0" borderId="0" xfId="0" applyNumberFormat="1"/>
    <xf numFmtId="0" fontId="1" fillId="3" borderId="0" xfId="0" applyFont="1" applyFill="1"/>
    <xf numFmtId="0" fontId="1" fillId="3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workbookViewId="0">
      <selection activeCell="M4" sqref="M4"/>
    </sheetView>
  </sheetViews>
  <sheetFormatPr defaultRowHeight="14.25" x14ac:dyDescent="0.45"/>
  <cols>
    <col min="1" max="1" width="12.1328125" bestFit="1" customWidth="1"/>
    <col min="2" max="2" width="8.33203125" bestFit="1" customWidth="1"/>
    <col min="3" max="3" width="18.9296875" bestFit="1" customWidth="1"/>
    <col min="4" max="4" width="21.73046875" customWidth="1"/>
    <col min="5" max="5" width="15.86328125" bestFit="1" customWidth="1"/>
    <col min="6" max="7" width="9.06640625" hidden="1" customWidth="1"/>
    <col min="8" max="8" width="18.3984375" customWidth="1"/>
    <col min="9" max="9" width="22.6640625" customWidth="1"/>
    <col min="10" max="10" width="23.796875" customWidth="1"/>
    <col min="11" max="11" width="22.33203125" customWidth="1"/>
  </cols>
  <sheetData>
    <row r="1" spans="1:12" ht="105" customHeight="1" x14ac:dyDescent="0.65">
      <c r="A1" s="3" t="s">
        <v>0</v>
      </c>
      <c r="B1" s="3" t="s">
        <v>1</v>
      </c>
      <c r="C1" s="7" t="s">
        <v>2</v>
      </c>
      <c r="D1" s="4" t="s">
        <v>3</v>
      </c>
      <c r="E1" s="4" t="s">
        <v>4</v>
      </c>
      <c r="F1" s="9"/>
      <c r="G1" s="9"/>
      <c r="H1" s="4" t="s">
        <v>5</v>
      </c>
      <c r="I1" s="4" t="s">
        <v>6</v>
      </c>
      <c r="J1" s="4" t="s">
        <v>31</v>
      </c>
      <c r="K1" s="4" t="s">
        <v>32</v>
      </c>
    </row>
    <row r="2" spans="1:12" ht="21" customHeight="1" x14ac:dyDescent="0.65">
      <c r="A2" s="10" t="s">
        <v>7</v>
      </c>
      <c r="B2" s="2" t="s">
        <v>8</v>
      </c>
      <c r="C2" s="2">
        <v>129</v>
      </c>
      <c r="D2" s="1">
        <v>75</v>
      </c>
      <c r="E2" s="1">
        <v>69</v>
      </c>
      <c r="F2" s="9"/>
      <c r="G2" s="9"/>
      <c r="H2" s="11">
        <f t="shared" ref="H2:H10" si="0">D2*6</f>
        <v>450</v>
      </c>
      <c r="I2" s="11">
        <f t="shared" ref="I2:I10" si="1">E2*6*4</f>
        <v>1656</v>
      </c>
      <c r="J2" s="12">
        <f>H2*1.025</f>
        <v>461.24999999999994</v>
      </c>
      <c r="K2" s="12">
        <f>I2*1.025</f>
        <v>1697.3999999999999</v>
      </c>
      <c r="L2" s="13"/>
    </row>
    <row r="3" spans="1:12" ht="21" customHeight="1" x14ac:dyDescent="0.65">
      <c r="A3" s="10" t="s">
        <v>7</v>
      </c>
      <c r="B3" s="2" t="s">
        <v>9</v>
      </c>
      <c r="C3" s="2">
        <v>159</v>
      </c>
      <c r="D3" s="1">
        <v>99</v>
      </c>
      <c r="E3" s="1">
        <v>89</v>
      </c>
      <c r="F3" s="9"/>
      <c r="G3" s="9"/>
      <c r="H3" s="11">
        <f t="shared" si="0"/>
        <v>594</v>
      </c>
      <c r="I3" s="11">
        <f t="shared" si="1"/>
        <v>2136</v>
      </c>
      <c r="J3" s="12">
        <f>H3*1.025</f>
        <v>608.84999999999991</v>
      </c>
      <c r="K3" s="12">
        <f>I3*1.025</f>
        <v>2189.3999999999996</v>
      </c>
    </row>
    <row r="4" spans="1:12" ht="21" customHeight="1" x14ac:dyDescent="0.65">
      <c r="A4" s="10" t="s">
        <v>7</v>
      </c>
      <c r="B4" s="2" t="s">
        <v>10</v>
      </c>
      <c r="C4" s="2">
        <v>220</v>
      </c>
      <c r="D4" s="1">
        <v>169</v>
      </c>
      <c r="E4" s="1">
        <v>149</v>
      </c>
      <c r="F4" s="9"/>
      <c r="G4" s="9"/>
      <c r="H4" s="11">
        <f t="shared" si="0"/>
        <v>1014</v>
      </c>
      <c r="I4" s="11">
        <f t="shared" si="1"/>
        <v>3576</v>
      </c>
      <c r="J4" s="12">
        <f t="shared" ref="J4:J10" si="2">H4*1.025</f>
        <v>1039.3499999999999</v>
      </c>
      <c r="K4" s="12">
        <f t="shared" ref="K4:K10" si="3">I4*1.025</f>
        <v>3665.3999999999996</v>
      </c>
    </row>
    <row r="5" spans="1:12" ht="21" customHeight="1" x14ac:dyDescent="0.65">
      <c r="A5" s="10" t="s">
        <v>11</v>
      </c>
      <c r="B5" s="2" t="s">
        <v>8</v>
      </c>
      <c r="C5" s="5">
        <f t="shared" ref="C5:C10" si="4">C2*1.1</f>
        <v>141.9</v>
      </c>
      <c r="D5" s="1">
        <v>80</v>
      </c>
      <c r="E5" s="1">
        <v>75</v>
      </c>
      <c r="F5" s="9"/>
      <c r="G5" s="9"/>
      <c r="H5" s="11">
        <f t="shared" si="0"/>
        <v>480</v>
      </c>
      <c r="I5" s="11">
        <f t="shared" si="1"/>
        <v>1800</v>
      </c>
      <c r="J5" s="12">
        <f t="shared" si="2"/>
        <v>491.99999999999994</v>
      </c>
      <c r="K5" s="12">
        <f t="shared" si="3"/>
        <v>1844.9999999999998</v>
      </c>
    </row>
    <row r="6" spans="1:12" ht="21" customHeight="1" x14ac:dyDescent="0.65">
      <c r="A6" s="10" t="s">
        <v>11</v>
      </c>
      <c r="B6" s="2" t="s">
        <v>9</v>
      </c>
      <c r="C6" s="5">
        <f t="shared" si="4"/>
        <v>174.9</v>
      </c>
      <c r="D6" s="1">
        <v>105</v>
      </c>
      <c r="E6" s="1">
        <v>95</v>
      </c>
      <c r="F6" s="9"/>
      <c r="G6" s="9"/>
      <c r="H6" s="11">
        <f t="shared" si="0"/>
        <v>630</v>
      </c>
      <c r="I6" s="11">
        <f t="shared" si="1"/>
        <v>2280</v>
      </c>
      <c r="J6" s="12">
        <f t="shared" si="2"/>
        <v>645.75</v>
      </c>
      <c r="K6" s="12">
        <f t="shared" si="3"/>
        <v>2337</v>
      </c>
    </row>
    <row r="7" spans="1:12" ht="21" customHeight="1" x14ac:dyDescent="0.65">
      <c r="A7" s="10" t="s">
        <v>11</v>
      </c>
      <c r="B7" s="2" t="s">
        <v>10</v>
      </c>
      <c r="C7" s="5">
        <f t="shared" si="4"/>
        <v>242.00000000000003</v>
      </c>
      <c r="D7" s="1">
        <v>173</v>
      </c>
      <c r="E7" s="1">
        <v>169</v>
      </c>
      <c r="F7" s="9"/>
      <c r="G7" s="9"/>
      <c r="H7" s="11">
        <f t="shared" si="0"/>
        <v>1038</v>
      </c>
      <c r="I7" s="11">
        <f t="shared" si="1"/>
        <v>4056</v>
      </c>
      <c r="J7" s="12">
        <f t="shared" si="2"/>
        <v>1063.9499999999998</v>
      </c>
      <c r="K7" s="12">
        <f t="shared" si="3"/>
        <v>4157.3999999999996</v>
      </c>
    </row>
    <row r="8" spans="1:12" ht="21" customHeight="1" x14ac:dyDescent="0.65">
      <c r="A8" s="10" t="s">
        <v>12</v>
      </c>
      <c r="B8" s="2" t="s">
        <v>8</v>
      </c>
      <c r="C8" s="5">
        <f t="shared" si="4"/>
        <v>156.09000000000003</v>
      </c>
      <c r="D8" s="1">
        <v>90</v>
      </c>
      <c r="E8" s="1">
        <v>83</v>
      </c>
      <c r="F8" s="9"/>
      <c r="G8" s="9"/>
      <c r="H8" s="11">
        <f t="shared" si="0"/>
        <v>540</v>
      </c>
      <c r="I8" s="11">
        <f t="shared" si="1"/>
        <v>1992</v>
      </c>
      <c r="J8" s="12">
        <f t="shared" si="2"/>
        <v>553.5</v>
      </c>
      <c r="K8" s="12">
        <f t="shared" si="3"/>
        <v>2041.7999999999997</v>
      </c>
    </row>
    <row r="9" spans="1:12" ht="21" customHeight="1" x14ac:dyDescent="0.65">
      <c r="A9" s="10" t="s">
        <v>12</v>
      </c>
      <c r="B9" s="2" t="s">
        <v>9</v>
      </c>
      <c r="C9" s="5">
        <f t="shared" si="4"/>
        <v>192.39000000000001</v>
      </c>
      <c r="D9" s="1">
        <v>109</v>
      </c>
      <c r="E9" s="1">
        <v>99</v>
      </c>
      <c r="F9" s="9"/>
      <c r="G9" s="9"/>
      <c r="H9" s="11">
        <f t="shared" si="0"/>
        <v>654</v>
      </c>
      <c r="I9" s="11">
        <f t="shared" si="1"/>
        <v>2376</v>
      </c>
      <c r="J9" s="12">
        <f t="shared" si="2"/>
        <v>670.34999999999991</v>
      </c>
      <c r="K9" s="12">
        <f t="shared" si="3"/>
        <v>2435.3999999999996</v>
      </c>
    </row>
    <row r="10" spans="1:12" ht="21" customHeight="1" x14ac:dyDescent="0.65">
      <c r="A10" s="10" t="s">
        <v>12</v>
      </c>
      <c r="B10" s="2" t="s">
        <v>10</v>
      </c>
      <c r="C10" s="5">
        <f t="shared" si="4"/>
        <v>266.20000000000005</v>
      </c>
      <c r="D10" s="1">
        <v>183</v>
      </c>
      <c r="E10" s="1">
        <v>179</v>
      </c>
      <c r="F10" s="9"/>
      <c r="G10" s="9"/>
      <c r="H10" s="11">
        <f t="shared" si="0"/>
        <v>1098</v>
      </c>
      <c r="I10" s="11">
        <f t="shared" si="1"/>
        <v>4296</v>
      </c>
      <c r="J10" s="12">
        <f t="shared" si="2"/>
        <v>1125.4499999999998</v>
      </c>
      <c r="K10" s="12">
        <f t="shared" si="3"/>
        <v>4403.3999999999996</v>
      </c>
    </row>
  </sheetData>
  <pageMargins left="0.7" right="0.7" top="0.75" bottom="0.75" header="0.3" footer="0.3"/>
  <headerFooter>
    <oddHeader>&amp;C&amp;"Aptos"&amp;1 &amp;KFF0000 डेटा वर्गीकरण : प्रतिबंधित/RESTRICTED#_x000D_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tabSelected="1" workbookViewId="0">
      <selection activeCell="A10" sqref="A10"/>
    </sheetView>
  </sheetViews>
  <sheetFormatPr defaultRowHeight="14.25" x14ac:dyDescent="0.45"/>
  <cols>
    <col min="1" max="2" width="18.6640625" bestFit="1" customWidth="1"/>
    <col min="3" max="3" width="21.3984375" bestFit="1" customWidth="1"/>
  </cols>
  <sheetData>
    <row r="1" spans="1:3" ht="21" customHeight="1" x14ac:dyDescent="0.65">
      <c r="A1" s="6" t="s">
        <v>7</v>
      </c>
      <c r="B1" s="6" t="s">
        <v>11</v>
      </c>
      <c r="C1" s="6" t="s">
        <v>13</v>
      </c>
    </row>
    <row r="2" spans="1:3" ht="21" customHeight="1" x14ac:dyDescent="0.65">
      <c r="A2" s="1" t="s">
        <v>14</v>
      </c>
      <c r="B2" s="8" t="s">
        <v>15</v>
      </c>
      <c r="C2" s="8" t="s">
        <v>16</v>
      </c>
    </row>
    <row r="3" spans="1:3" ht="21" customHeight="1" x14ac:dyDescent="0.65">
      <c r="A3" s="8" t="s">
        <v>17</v>
      </c>
      <c r="B3" s="8" t="s">
        <v>18</v>
      </c>
      <c r="C3" s="8" t="s">
        <v>19</v>
      </c>
    </row>
    <row r="4" spans="1:3" ht="21" customHeight="1" x14ac:dyDescent="0.65">
      <c r="A4" s="8" t="s">
        <v>20</v>
      </c>
      <c r="B4" s="8" t="s">
        <v>21</v>
      </c>
      <c r="C4" s="8" t="s">
        <v>22</v>
      </c>
    </row>
    <row r="5" spans="1:3" ht="21" customHeight="1" x14ac:dyDescent="0.65">
      <c r="A5" s="8" t="s">
        <v>23</v>
      </c>
      <c r="B5" s="8" t="s">
        <v>24</v>
      </c>
      <c r="C5" s="8" t="s">
        <v>25</v>
      </c>
    </row>
    <row r="6" spans="1:3" ht="21" customHeight="1" x14ac:dyDescent="0.65">
      <c r="A6" s="1" t="s">
        <v>26</v>
      </c>
      <c r="B6" s="8" t="s">
        <v>27</v>
      </c>
      <c r="C6" s="1" t="s">
        <v>28</v>
      </c>
    </row>
    <row r="8" spans="1:3" ht="21" x14ac:dyDescent="0.65">
      <c r="A8" s="14" t="s">
        <v>29</v>
      </c>
    </row>
    <row r="9" spans="1:3" ht="21" x14ac:dyDescent="0.65">
      <c r="A9" s="14" t="s">
        <v>30</v>
      </c>
    </row>
    <row r="10" spans="1:3" ht="21" x14ac:dyDescent="0.65">
      <c r="A10" s="1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Pricing</vt:lpstr>
      <vt:lpstr>Families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Hotwani</dc:creator>
  <cp:lastModifiedBy>Bharat Hotwani {भरत होतवानी}</cp:lastModifiedBy>
  <dcterms:created xsi:type="dcterms:W3CDTF">2015-06-05T18:17:20Z</dcterms:created>
  <dcterms:modified xsi:type="dcterms:W3CDTF">2026-05-26T12:46:38Z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5961ef-6ad8-4ebf-ac83-5a6f539b3711_Enabled">
    <vt:lpwstr>true</vt:lpwstr>
  </property>
  <property fmtid="{D5CDD505-2E9C-101B-9397-08002B2CF9AE}" pid="3" name="MSIP_Label_1e5961ef-6ad8-4ebf-ac83-5a6f539b3711_SetDate">
    <vt:lpwstr>2025-12-19T19:43:02Z</vt:lpwstr>
  </property>
  <property fmtid="{D5CDD505-2E9C-101B-9397-08002B2CF9AE}" pid="4" name="MSIP_Label_1e5961ef-6ad8-4ebf-ac83-5a6f539b3711_Method">
    <vt:lpwstr>Privileged</vt:lpwstr>
  </property>
  <property fmtid="{D5CDD505-2E9C-101B-9397-08002B2CF9AE}" pid="5" name="MSIP_Label_1e5961ef-6ad8-4ebf-ac83-5a6f539b3711_Name">
    <vt:lpwstr>Restricted-IT</vt:lpwstr>
  </property>
  <property fmtid="{D5CDD505-2E9C-101B-9397-08002B2CF9AE}" pid="6" name="MSIP_Label_1e5961ef-6ad8-4ebf-ac83-5a6f539b3711_SiteId">
    <vt:lpwstr>7048075c-52c2-4a40-8e7c-5c5a5573c87f</vt:lpwstr>
  </property>
  <property fmtid="{D5CDD505-2E9C-101B-9397-08002B2CF9AE}" pid="7" name="MSIP_Label_1e5961ef-6ad8-4ebf-ac83-5a6f539b3711_ActionId">
    <vt:lpwstr>73d7e1b9-a840-4925-a85f-29707499c067</vt:lpwstr>
  </property>
  <property fmtid="{D5CDD505-2E9C-101B-9397-08002B2CF9AE}" pid="8" name="MSIP_Label_1e5961ef-6ad8-4ebf-ac83-5a6f539b3711_ContentBits">
    <vt:lpwstr>1</vt:lpwstr>
  </property>
  <property fmtid="{D5CDD505-2E9C-101B-9397-08002B2CF9AE}" pid="9" name="MSIP_Label_1e5961ef-6ad8-4ebf-ac83-5a6f539b3711_Tag">
    <vt:lpwstr>10, 0, 1, 1</vt:lpwstr>
  </property>
</Properties>
</file>