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OOKMYJUICE\static website\"/>
    </mc:Choice>
  </mc:AlternateContent>
  <xr:revisionPtr revIDLastSave="0" documentId="13_ncr:1_{4A2A0C4C-8F39-40D8-8128-8D116BD59AA3}" xr6:coauthVersionLast="47" xr6:coauthVersionMax="47" xr10:uidLastSave="{00000000-0000-0000-0000-000000000000}"/>
  <bookViews>
    <workbookView xWindow="-98" yWindow="-98" windowWidth="21795" windowHeight="12975" tabRatio="473" xr2:uid="{00000000-000D-0000-FFFF-FFFF00000000}"/>
  </bookViews>
  <sheets>
    <sheet name="pricing" sheetId="1" r:id="rId1"/>
    <sheet name="categories" sheetId="2" r:id="rId2"/>
    <sheet name="urls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M2" i="1"/>
  <c r="L2" i="1"/>
  <c r="I11" i="4"/>
  <c r="H11" i="4"/>
  <c r="L10" i="4"/>
  <c r="K10" i="4"/>
  <c r="I10" i="4"/>
  <c r="H10" i="4"/>
  <c r="C10" i="4"/>
  <c r="I9" i="4"/>
  <c r="H9" i="4"/>
  <c r="L8" i="4"/>
  <c r="K8" i="4"/>
  <c r="I8" i="4"/>
  <c r="H8" i="4"/>
  <c r="C8" i="4"/>
  <c r="C11" i="4" s="1"/>
  <c r="L7" i="4"/>
  <c r="K7" i="4"/>
  <c r="I7" i="4"/>
  <c r="H7" i="4"/>
  <c r="C7" i="4"/>
  <c r="I6" i="4"/>
  <c r="H6" i="4"/>
  <c r="C6" i="4"/>
  <c r="C9" i="4" s="1"/>
  <c r="L5" i="4"/>
  <c r="K5" i="4"/>
  <c r="I5" i="4"/>
  <c r="H5" i="4"/>
  <c r="L4" i="4"/>
  <c r="K4" i="4"/>
  <c r="I4" i="4"/>
  <c r="H4" i="4"/>
  <c r="L3" i="4"/>
  <c r="K3" i="4"/>
  <c r="I3" i="4"/>
  <c r="H3" i="4"/>
  <c r="I10" i="1"/>
  <c r="K10" i="1" s="1"/>
  <c r="H10" i="1"/>
  <c r="J10" i="1" s="1"/>
  <c r="J9" i="1"/>
  <c r="I9" i="1"/>
  <c r="K9" i="1" s="1"/>
  <c r="H9" i="1"/>
  <c r="C9" i="1"/>
  <c r="I8" i="1"/>
  <c r="K8" i="1" s="1"/>
  <c r="H8" i="1"/>
  <c r="J8" i="1" s="1"/>
  <c r="J7" i="1"/>
  <c r="I7" i="1"/>
  <c r="K7" i="1" s="1"/>
  <c r="H7" i="1"/>
  <c r="C7" i="1"/>
  <c r="C10" i="1" s="1"/>
  <c r="K6" i="1"/>
  <c r="I6" i="1"/>
  <c r="H6" i="1"/>
  <c r="J6" i="1" s="1"/>
  <c r="C6" i="1"/>
  <c r="I5" i="1"/>
  <c r="K5" i="1" s="1"/>
  <c r="H5" i="1"/>
  <c r="J5" i="1" s="1"/>
  <c r="C5" i="1"/>
  <c r="C8" i="1" s="1"/>
  <c r="K4" i="1"/>
  <c r="J4" i="1"/>
  <c r="I4" i="1"/>
  <c r="H4" i="1"/>
  <c r="K3" i="1"/>
  <c r="J3" i="1"/>
  <c r="I3" i="1"/>
  <c r="H3" i="1"/>
  <c r="I2" i="1"/>
  <c r="K2" i="1" s="1"/>
  <c r="H2" i="1"/>
  <c r="J2" i="1" s="1"/>
  <c r="L11" i="4" l="1"/>
  <c r="K11" i="4"/>
  <c r="L9" i="4"/>
  <c r="K9" i="4"/>
  <c r="K6" i="4"/>
  <c r="L6" i="4"/>
</calcChain>
</file>

<file path=xl/sharedStrings.xml><?xml version="1.0" encoding="utf-8"?>
<sst xmlns="http://schemas.openxmlformats.org/spreadsheetml/2006/main" count="170" uniqueCount="132">
  <si>
    <t>Category</t>
  </si>
  <si>
    <t>Size</t>
  </si>
  <si>
    <t>Regular price
per bottle (Rs.)</t>
  </si>
  <si>
    <t>Weekly Subscription
(6 days) price per bottle</t>
  </si>
  <si>
    <t>Monthly Subscription
(4 weeks) price per bottle</t>
  </si>
  <si>
    <t>Weekly Subscription
(6 days) total cost</t>
  </si>
  <si>
    <t>Monthly Subscription
(4 weeks) total cost</t>
  </si>
  <si>
    <t>Weekly Subscription
(6 days) total cost with 2% overhead</t>
  </si>
  <si>
    <t>Monthly Subscription
(4 weeks) total cost with 2% overhead</t>
  </si>
  <si>
    <t>Delight</t>
  </si>
  <si>
    <t>200ml</t>
  </si>
  <si>
    <t>300ml</t>
  </si>
  <si>
    <t>500ml</t>
  </si>
  <si>
    <t>Signature</t>
  </si>
  <si>
    <t>Permium</t>
  </si>
  <si>
    <t>Premium</t>
  </si>
  <si>
    <t>Mix Punch</t>
  </si>
  <si>
    <t>ABC Juice</t>
  </si>
  <si>
    <t>Bloody Red</t>
  </si>
  <si>
    <t>Carrot Juice</t>
  </si>
  <si>
    <t>Pineapple</t>
  </si>
  <si>
    <t>Antioxidant Juice</t>
  </si>
  <si>
    <t>Colon Cleanser</t>
  </si>
  <si>
    <t>Amla Juice</t>
  </si>
  <si>
    <t>Wheatgrass Juice</t>
  </si>
  <si>
    <t>Beat the heat</t>
  </si>
  <si>
    <t>Ashguard Juice</t>
  </si>
  <si>
    <t>Coconut Milk</t>
  </si>
  <si>
    <t>winter special</t>
  </si>
  <si>
    <t>Citrus Juice</t>
  </si>
  <si>
    <t>Detox Smoothie</t>
  </si>
  <si>
    <t>plan</t>
  </si>
  <si>
    <t>plan id</t>
  </si>
  <si>
    <t>subscription url</t>
  </si>
  <si>
    <t>subscription id</t>
  </si>
  <si>
    <t>one-time payment url</t>
  </si>
  <si>
    <t>Delight-200ml-Weekly</t>
  </si>
  <si>
    <t>plan_RtwWa5pupeKfXV</t>
  </si>
  <si>
    <t>https://rzp.io/rzp/ODTclji</t>
  </si>
  <si>
    <t>sub_Rtya9w0hv4JASl</t>
  </si>
  <si>
    <t>Delight-200ml-Monthly</t>
  </si>
  <si>
    <t>plan_RtwZR4NWKj5O59</t>
  </si>
  <si>
    <t>https://rzp.io/rzp/5wfPg42m</t>
  </si>
  <si>
    <t>sub_Rtyyrx5fvZaY3S</t>
  </si>
  <si>
    <t>Delight-300ml-Weekly</t>
  </si>
  <si>
    <t>plan_RtzCR5YH57053V</t>
  </si>
  <si>
    <t>https://rzp.io/rzp/nYFpWPGY</t>
  </si>
  <si>
    <t>sub_Rv4AQkbpfqP6uv</t>
  </si>
  <si>
    <t>Delight-300ml-Monthly</t>
  </si>
  <si>
    <t>plan_RtzTAJyaiz5ur5</t>
  </si>
  <si>
    <t>https://rzp.io/rzp/mTWIf1z</t>
  </si>
  <si>
    <t>sub_Rv4ATWWOVZilsr</t>
  </si>
  <si>
    <t>Delight-500ml-Weekly</t>
  </si>
  <si>
    <t>plan_RullA3Hwvtqmd1</t>
  </si>
  <si>
    <t>https://rzp.io/rzp/j4tb7wD</t>
  </si>
  <si>
    <t>sub_Rv4AV8eo7oDhjr</t>
  </si>
  <si>
    <t>Delight-500ml-Monthly</t>
  </si>
  <si>
    <t>plan_Ruln9CfY114i71</t>
  </si>
  <si>
    <t>https://rzp.io/rzp/VSMC2Ix</t>
  </si>
  <si>
    <t>sub_Rv4AX489LZ4fd6</t>
  </si>
  <si>
    <t>Signature-200ml-Weekly</t>
  </si>
  <si>
    <t>plan_RuloUkrcGBQILr</t>
  </si>
  <si>
    <t>https://rzp.io/rzp/Gc6Fby8u</t>
  </si>
  <si>
    <t>sub_Rv4AYrJ5e90GiU</t>
  </si>
  <si>
    <t>Signature-200ml-Monthly</t>
  </si>
  <si>
    <t>plan_RulqzN3aC2dWOw</t>
  </si>
  <si>
    <t>https://rzp.io/rzp/NFF5Cwx9</t>
  </si>
  <si>
    <t>sub_Rv4AabF6JG4CCJ</t>
  </si>
  <si>
    <t>Signature-300ml-Weekly</t>
  </si>
  <si>
    <t>plan_RtzDgz8LWwDBWO</t>
  </si>
  <si>
    <t>https://rzp.io/rzp/yGzaEn0e</t>
  </si>
  <si>
    <t>sub_Rv4AcIao9YotTj</t>
  </si>
  <si>
    <t>Signature-300ml-Monthly</t>
  </si>
  <si>
    <t>plan_RulrzHqZKsEmzo</t>
  </si>
  <si>
    <t>https://rzp.io/rzp/PRdmGup</t>
  </si>
  <si>
    <t>sub_Rv4Ae8lZ6Vbb2q</t>
  </si>
  <si>
    <t>Signature-500ml-Weekly</t>
  </si>
  <si>
    <t>plan_RultIz01853dJP</t>
  </si>
  <si>
    <t>https://rzp.io/rzp/Xq2iJJt</t>
  </si>
  <si>
    <t>sub_Rv4AgAvQJ5ECzM</t>
  </si>
  <si>
    <t>Signature-500ml-Monthly</t>
  </si>
  <si>
    <t>plan_RuluN6qomUGnNA</t>
  </si>
  <si>
    <t>https://rzp.io/rzp/CB1e8Qmk</t>
  </si>
  <si>
    <t>sub_Rv4AhyY244o7No</t>
  </si>
  <si>
    <t>Premium-200ml-Weekly</t>
  </si>
  <si>
    <t>plan_Rulveq6uTzbY57</t>
  </si>
  <si>
    <t>https://rzp.io/rzp/KJBnHViB</t>
  </si>
  <si>
    <t>sub_Rv4AjagBvhQ7cS</t>
  </si>
  <si>
    <t>Premium-200ml-Monthly</t>
  </si>
  <si>
    <t>plan_RulwhzN4C3aJZC</t>
  </si>
  <si>
    <t>https://rzp.io/rzp/25JLvjb</t>
  </si>
  <si>
    <t>sub_Rv4Al6tam9IPu9</t>
  </si>
  <si>
    <t>Premium-300ml-Weekly</t>
  </si>
  <si>
    <t>plan_RtzEdUvV5uguks</t>
  </si>
  <si>
    <t>https://rzp.io/rzp/TcTDbrKc</t>
  </si>
  <si>
    <t>sub_Rv4AmXVpAeuKPi</t>
  </si>
  <si>
    <t>Premium-300ml-Monthly</t>
  </si>
  <si>
    <t>plan_Rulxy3oji6DGzk</t>
  </si>
  <si>
    <t>https://rzp.io/rzp/vFCzlyI</t>
  </si>
  <si>
    <t>sub_Rv4AoMai11Lpws</t>
  </si>
  <si>
    <t>Premium-500ml-Weekly</t>
  </si>
  <si>
    <t>plan_Rv3uAmJY2CY4HL</t>
  </si>
  <si>
    <t>https://rzp.io/rzp/b9YfH02F</t>
  </si>
  <si>
    <t>sub_Rv4AprOTnvgLzq</t>
  </si>
  <si>
    <t>Premium-500ml-Monthly</t>
  </si>
  <si>
    <t>plan_Rv3v7k5RQb13Wz</t>
  </si>
  <si>
    <t>https://rzp.io/rzp/gFX8xtUj</t>
  </si>
  <si>
    <t>sub_Rv4IzhDwqwCcQf</t>
  </si>
  <si>
    <t>Weekly Subscription
(6 days)</t>
  </si>
  <si>
    <t>Monthly Subscription
(4 weeks)</t>
  </si>
  <si>
    <t>Price per bottle (Rs.)</t>
  </si>
  <si>
    <t>per ml price</t>
  </si>
  <si>
    <t>discounts (%)</t>
  </si>
  <si>
    <t>https://rzp.io/rzp/4ltmC0XI</t>
  </si>
  <si>
    <t>https://rzp.io/rzp/9jvt1QDa</t>
  </si>
  <si>
    <t>https://rzp.io/rzp/ZMyvkiUA</t>
  </si>
  <si>
    <t>https://rzp.io/rzp/T2zMO8Zv</t>
  </si>
  <si>
    <t>https://rzp.io/rzp/U0Nwr07</t>
  </si>
  <si>
    <t>https://rzp.io/rzp/5pTQdQ2Z</t>
  </si>
  <si>
    <t>https://rzp.io/rzp/IbIkyo2n</t>
  </si>
  <si>
    <t>https://rzp.io/rzp/gqv0S9U</t>
  </si>
  <si>
    <t>https://rzp.io/rzp/TWvoo6E</t>
  </si>
  <si>
    <t>https://rzp.io/rzp/TN3rilXf</t>
  </si>
  <si>
    <t>https://rzp.io/rzp/s4UqFOM</t>
  </si>
  <si>
    <t>https://rzp.io/rzp/XZwcdb1</t>
  </si>
  <si>
    <t>https://rzp.io/rzp/hKK65cKi</t>
  </si>
  <si>
    <t>https://rzp.io/rzp/Z5kG3u0</t>
  </si>
  <si>
    <t>address added</t>
  </si>
  <si>
    <t>https://rzp.io/rzp/Tt8ZFfS</t>
  </si>
  <si>
    <t>https://rzp.io/rzp/Pw189d2s</t>
  </si>
  <si>
    <t>https://rzp.io/rzp/2xQGREz9</t>
  </si>
  <si>
    <t>https://rzp.io/rzp/WTBuuWN1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</si>
</sst>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horizontal="center"/>
    </xf>
    <xf numFmtId="10" fontId="0" fillId="0" borderId="0" xfId="0" applyNumberFormat="1"/>
    <xf numFmtId="0" fontId="2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1" applyBorder="1"/>
    <xf numFmtId="0" fontId="2" fillId="3" borderId="1" xfId="0" applyFont="1" applyFill="1" applyBorder="1"/>
    <xf numFmtId="0" fontId="4" fillId="0" borderId="1" xfId="0" applyFont="1" applyBorder="1"/>
    <xf numFmtId="0" fontId="0" fillId="0" borderId="1" xfId="0" applyBorder="1"/>
    <xf numFmtId="0" fontId="1" fillId="0" borderId="0" xfId="1" applyAlignment="1">
      <alignment horizontal="left" vertical="center"/>
    </xf>
    <xf numFmtId="0" fontId="1" fillId="0" borderId="0" xfId="1"/>
    <xf numFmtId="0" fontId="4" fillId="0" borderId="3" xfId="0" applyFont="1" applyBorder="1"/>
    <xf numFmtId="0" fontId="2" fillId="0" borderId="1" xfId="0" applyFont="1" applyBorder="1" applyAlignment="1">
      <alignment vertical="center"/>
    </xf>
    <xf numFmtId="1" fontId="0" fillId="0" borderId="1" xfId="0" applyNumberFormat="1" applyBorder="1"/>
    <xf numFmtId="1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shboard.razorpay.com/app/plans/plan_RtzDgz8LWwDBWO" TargetMode="External"/><Relationship Id="rId13" Type="http://schemas.openxmlformats.org/officeDocument/2006/relationships/hyperlink" Target="https://rzp.io/rzp/KJBnHViB" TargetMode="External"/><Relationship Id="rId18" Type="http://schemas.openxmlformats.org/officeDocument/2006/relationships/hyperlink" Target="https://rzp.io/rzp/b9YfH02F" TargetMode="External"/><Relationship Id="rId3" Type="http://schemas.openxmlformats.org/officeDocument/2006/relationships/hyperlink" Target="https://rzp.io/rzp/mTWIf1z" TargetMode="External"/><Relationship Id="rId7" Type="http://schemas.openxmlformats.org/officeDocument/2006/relationships/hyperlink" Target="https://rzp.io/rzp/NFF5Cwx9" TargetMode="External"/><Relationship Id="rId12" Type="http://schemas.openxmlformats.org/officeDocument/2006/relationships/hyperlink" Target="https://rzp.io/rzp/CB1e8Qmk" TargetMode="External"/><Relationship Id="rId17" Type="http://schemas.openxmlformats.org/officeDocument/2006/relationships/hyperlink" Target="https://rzp.io/rzp/vFCzlyI" TargetMode="External"/><Relationship Id="rId2" Type="http://schemas.openxmlformats.org/officeDocument/2006/relationships/hyperlink" Target="https://rzp.io/rzp/nYFpWPGY" TargetMode="External"/><Relationship Id="rId16" Type="http://schemas.openxmlformats.org/officeDocument/2006/relationships/hyperlink" Target="https://rzp.io/rzp/TcTDbrKc" TargetMode="External"/><Relationship Id="rId1" Type="http://schemas.openxmlformats.org/officeDocument/2006/relationships/hyperlink" Target="https://dashboard.razorpay.com/app/plans/plan_RtzCR5YH57053V" TargetMode="External"/><Relationship Id="rId6" Type="http://schemas.openxmlformats.org/officeDocument/2006/relationships/hyperlink" Target="https://rzp.io/rzp/Gc6Fby8u" TargetMode="External"/><Relationship Id="rId11" Type="http://schemas.openxmlformats.org/officeDocument/2006/relationships/hyperlink" Target="https://rzp.io/rzp/Xq2iJJt" TargetMode="External"/><Relationship Id="rId5" Type="http://schemas.openxmlformats.org/officeDocument/2006/relationships/hyperlink" Target="https://rzp.io/rzp/VSMC2Ix" TargetMode="External"/><Relationship Id="rId15" Type="http://schemas.openxmlformats.org/officeDocument/2006/relationships/hyperlink" Target="https://dashboard.razorpay.com/app/plans/plan_RtzEdUvV5uguks" TargetMode="External"/><Relationship Id="rId10" Type="http://schemas.openxmlformats.org/officeDocument/2006/relationships/hyperlink" Target="https://rzp.io/rzp/PRdmGup" TargetMode="External"/><Relationship Id="rId19" Type="http://schemas.openxmlformats.org/officeDocument/2006/relationships/hyperlink" Target="https://dashboard.razorpay.com/app/subscriptions/sub_Rv4IzhDwqwCcQf" TargetMode="External"/><Relationship Id="rId4" Type="http://schemas.openxmlformats.org/officeDocument/2006/relationships/hyperlink" Target="https://rzp.io/rzp/j4tb7wD" TargetMode="External"/><Relationship Id="rId9" Type="http://schemas.openxmlformats.org/officeDocument/2006/relationships/hyperlink" Target="https://rzp.io/rzp/yGzaEn0e" TargetMode="External"/><Relationship Id="rId14" Type="http://schemas.openxmlformats.org/officeDocument/2006/relationships/hyperlink" Target="https://rzp.io/rzp/25JLvj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J13" sqref="J13"/>
    </sheetView>
  </sheetViews>
  <sheetFormatPr defaultRowHeight="14.25" x14ac:dyDescent="0.45"/>
  <cols>
    <col min="1" max="1" width="12.1328125" bestFit="1" customWidth="1"/>
    <col min="2" max="2" width="8.33203125" bestFit="1" customWidth="1"/>
    <col min="3" max="3" width="18.9296875" bestFit="1" customWidth="1"/>
    <col min="4" max="4" width="21.73046875" customWidth="1"/>
    <col min="5" max="5" width="15.86328125" bestFit="1" customWidth="1"/>
    <col min="6" max="7" width="9.06640625" hidden="1" customWidth="1"/>
    <col min="8" max="8" width="18.3984375" customWidth="1"/>
    <col min="9" max="9" width="22.6640625" customWidth="1"/>
    <col min="10" max="10" width="23.796875" customWidth="1"/>
    <col min="11" max="11" width="22.33203125" customWidth="1"/>
  </cols>
  <sheetData>
    <row r="1" spans="1:13" ht="105" customHeight="1" x14ac:dyDescent="0.65">
      <c r="A1" s="4" t="s">
        <v>0</v>
      </c>
      <c r="B1" s="4" t="s">
        <v>1</v>
      </c>
      <c r="C1" s="9" t="s">
        <v>2</v>
      </c>
      <c r="D1" s="5" t="s">
        <v>3</v>
      </c>
      <c r="E1" s="5" t="s">
        <v>4</v>
      </c>
      <c r="F1" s="13"/>
      <c r="G1" s="13"/>
      <c r="H1" s="5" t="s">
        <v>5</v>
      </c>
      <c r="I1" s="5" t="s">
        <v>6</v>
      </c>
      <c r="J1" s="5" t="s">
        <v>7</v>
      </c>
      <c r="K1" s="5" t="s">
        <v>8</v>
      </c>
    </row>
    <row r="2" spans="1:13" ht="21" customHeight="1" x14ac:dyDescent="0.65">
      <c r="A2" s="17" t="s">
        <v>9</v>
      </c>
      <c r="B2" s="2" t="s">
        <v>10</v>
      </c>
      <c r="C2" s="2">
        <v>129</v>
      </c>
      <c r="D2" s="1">
        <v>75</v>
      </c>
      <c r="E2" s="1">
        <v>69</v>
      </c>
      <c r="F2" s="13"/>
      <c r="G2" s="13"/>
      <c r="H2" s="18">
        <f t="shared" ref="H2:H10" si="0">D2*6</f>
        <v>450</v>
      </c>
      <c r="I2" s="18">
        <f t="shared" ref="I2:I10" si="1">E2*6*4</f>
        <v>1656</v>
      </c>
      <c r="J2" s="19">
        <f t="shared" ref="J2:J10" si="2">H2*1.02</f>
        <v>459</v>
      </c>
      <c r="K2" s="19">
        <f t="shared" ref="K2:K10" si="3">I2*1.02</f>
        <v>1689.1200000000001</v>
      </c>
      <c r="L2">
        <f>J2-H2</f>
        <v>9</v>
      </c>
      <c r="M2">
        <f>K2-I2</f>
        <v>33.120000000000118</v>
      </c>
    </row>
    <row r="3" spans="1:13" ht="21" customHeight="1" x14ac:dyDescent="0.65">
      <c r="A3" s="17" t="s">
        <v>9</v>
      </c>
      <c r="B3" s="2" t="s">
        <v>11</v>
      </c>
      <c r="C3" s="2">
        <v>159</v>
      </c>
      <c r="D3" s="1">
        <v>99</v>
      </c>
      <c r="E3" s="1">
        <v>89</v>
      </c>
      <c r="F3" s="13"/>
      <c r="G3" s="13"/>
      <c r="H3" s="18">
        <f t="shared" si="0"/>
        <v>594</v>
      </c>
      <c r="I3" s="18">
        <f t="shared" si="1"/>
        <v>2136</v>
      </c>
      <c r="J3" s="19">
        <f t="shared" si="2"/>
        <v>605.88</v>
      </c>
      <c r="K3" s="19">
        <f t="shared" si="3"/>
        <v>2178.7200000000003</v>
      </c>
      <c r="L3">
        <f t="shared" ref="L3:L10" si="4">J3-H3</f>
        <v>11.879999999999995</v>
      </c>
      <c r="M3">
        <f t="shared" ref="M3:M10" si="5">K3-I3</f>
        <v>42.720000000000255</v>
      </c>
    </row>
    <row r="4" spans="1:13" ht="21" customHeight="1" x14ac:dyDescent="0.65">
      <c r="A4" s="17" t="s">
        <v>9</v>
      </c>
      <c r="B4" s="2" t="s">
        <v>12</v>
      </c>
      <c r="C4" s="2">
        <v>220</v>
      </c>
      <c r="D4" s="1">
        <v>169</v>
      </c>
      <c r="E4" s="1">
        <v>149</v>
      </c>
      <c r="F4" s="13"/>
      <c r="G4" s="13"/>
      <c r="H4" s="18">
        <f t="shared" si="0"/>
        <v>1014</v>
      </c>
      <c r="I4" s="18">
        <f t="shared" si="1"/>
        <v>3576</v>
      </c>
      <c r="J4" s="19">
        <f t="shared" si="2"/>
        <v>1034.28</v>
      </c>
      <c r="K4" s="18">
        <f t="shared" si="3"/>
        <v>3647.52</v>
      </c>
      <c r="L4">
        <f t="shared" si="4"/>
        <v>20.279999999999973</v>
      </c>
      <c r="M4">
        <f t="shared" si="5"/>
        <v>71.519999999999982</v>
      </c>
    </row>
    <row r="5" spans="1:13" ht="21" customHeight="1" x14ac:dyDescent="0.65">
      <c r="A5" s="17" t="s">
        <v>13</v>
      </c>
      <c r="B5" s="2" t="s">
        <v>10</v>
      </c>
      <c r="C5" s="6">
        <f t="shared" ref="C5:C10" si="6">C2*1.1</f>
        <v>141.9</v>
      </c>
      <c r="D5" s="1">
        <v>80</v>
      </c>
      <c r="E5" s="1">
        <v>75</v>
      </c>
      <c r="F5" s="13"/>
      <c r="G5" s="13"/>
      <c r="H5" s="18">
        <f t="shared" si="0"/>
        <v>480</v>
      </c>
      <c r="I5" s="18">
        <f t="shared" si="1"/>
        <v>1800</v>
      </c>
      <c r="J5" s="18">
        <f t="shared" si="2"/>
        <v>489.6</v>
      </c>
      <c r="K5" s="18">
        <f t="shared" si="3"/>
        <v>1836</v>
      </c>
      <c r="L5">
        <f t="shared" si="4"/>
        <v>9.6000000000000227</v>
      </c>
      <c r="M5">
        <f t="shared" si="5"/>
        <v>36</v>
      </c>
    </row>
    <row r="6" spans="1:13" ht="21" customHeight="1" x14ac:dyDescent="0.65">
      <c r="A6" s="17" t="s">
        <v>13</v>
      </c>
      <c r="B6" s="2" t="s">
        <v>11</v>
      </c>
      <c r="C6" s="6">
        <f t="shared" si="6"/>
        <v>174.9</v>
      </c>
      <c r="D6" s="1">
        <v>105</v>
      </c>
      <c r="E6" s="1">
        <v>95</v>
      </c>
      <c r="F6" s="13"/>
      <c r="G6" s="13"/>
      <c r="H6" s="18">
        <f t="shared" si="0"/>
        <v>630</v>
      </c>
      <c r="I6" s="18">
        <f t="shared" si="1"/>
        <v>2280</v>
      </c>
      <c r="J6" s="19">
        <f t="shared" si="2"/>
        <v>642.6</v>
      </c>
      <c r="K6" s="18">
        <f t="shared" si="3"/>
        <v>2325.6</v>
      </c>
      <c r="L6">
        <f t="shared" si="4"/>
        <v>12.600000000000023</v>
      </c>
      <c r="M6">
        <f t="shared" si="5"/>
        <v>45.599999999999909</v>
      </c>
    </row>
    <row r="7" spans="1:13" ht="21" customHeight="1" x14ac:dyDescent="0.65">
      <c r="A7" s="17" t="s">
        <v>13</v>
      </c>
      <c r="B7" s="2" t="s">
        <v>12</v>
      </c>
      <c r="C7" s="6">
        <f t="shared" si="6"/>
        <v>242.00000000000003</v>
      </c>
      <c r="D7" s="1">
        <v>173</v>
      </c>
      <c r="E7" s="1">
        <v>169</v>
      </c>
      <c r="F7" s="13"/>
      <c r="G7" s="13"/>
      <c r="H7" s="18">
        <f t="shared" si="0"/>
        <v>1038</v>
      </c>
      <c r="I7" s="18">
        <f t="shared" si="1"/>
        <v>4056</v>
      </c>
      <c r="J7" s="18">
        <f t="shared" si="2"/>
        <v>1058.76</v>
      </c>
      <c r="K7" s="18">
        <f t="shared" si="3"/>
        <v>4137.12</v>
      </c>
      <c r="L7">
        <f t="shared" si="4"/>
        <v>20.759999999999991</v>
      </c>
      <c r="M7">
        <f t="shared" si="5"/>
        <v>81.119999999999891</v>
      </c>
    </row>
    <row r="8" spans="1:13" ht="21" customHeight="1" x14ac:dyDescent="0.65">
      <c r="A8" s="17" t="s">
        <v>14</v>
      </c>
      <c r="B8" s="2" t="s">
        <v>10</v>
      </c>
      <c r="C8" s="6">
        <f t="shared" si="6"/>
        <v>156.09000000000003</v>
      </c>
      <c r="D8" s="1">
        <v>90</v>
      </c>
      <c r="E8" s="1">
        <v>83</v>
      </c>
      <c r="F8" s="13"/>
      <c r="G8" s="13"/>
      <c r="H8" s="18">
        <f t="shared" si="0"/>
        <v>540</v>
      </c>
      <c r="I8" s="18">
        <f t="shared" si="1"/>
        <v>1992</v>
      </c>
      <c r="J8" s="18">
        <f t="shared" si="2"/>
        <v>550.79999999999995</v>
      </c>
      <c r="K8" s="18">
        <f t="shared" si="3"/>
        <v>2031.8400000000001</v>
      </c>
      <c r="L8">
        <f t="shared" si="4"/>
        <v>10.799999999999955</v>
      </c>
      <c r="M8">
        <f t="shared" si="5"/>
        <v>39.840000000000146</v>
      </c>
    </row>
    <row r="9" spans="1:13" ht="21" customHeight="1" x14ac:dyDescent="0.65">
      <c r="A9" s="17" t="s">
        <v>14</v>
      </c>
      <c r="B9" s="2" t="s">
        <v>11</v>
      </c>
      <c r="C9" s="6">
        <f t="shared" si="6"/>
        <v>192.39000000000001</v>
      </c>
      <c r="D9" s="1">
        <v>109</v>
      </c>
      <c r="E9" s="1">
        <v>99</v>
      </c>
      <c r="F9" s="13"/>
      <c r="G9" s="13"/>
      <c r="H9" s="18">
        <f t="shared" si="0"/>
        <v>654</v>
      </c>
      <c r="I9" s="18">
        <f t="shared" si="1"/>
        <v>2376</v>
      </c>
      <c r="J9" s="19">
        <f t="shared" si="2"/>
        <v>667.08</v>
      </c>
      <c r="K9" s="18">
        <f t="shared" si="3"/>
        <v>2423.52</v>
      </c>
      <c r="L9">
        <f t="shared" si="4"/>
        <v>13.080000000000041</v>
      </c>
      <c r="M9">
        <f t="shared" si="5"/>
        <v>47.519999999999982</v>
      </c>
    </row>
    <row r="10" spans="1:13" ht="21" customHeight="1" x14ac:dyDescent="0.65">
      <c r="A10" s="17" t="s">
        <v>14</v>
      </c>
      <c r="B10" s="2" t="s">
        <v>12</v>
      </c>
      <c r="C10" s="6">
        <f t="shared" si="6"/>
        <v>266.20000000000005</v>
      </c>
      <c r="D10" s="1">
        <v>183</v>
      </c>
      <c r="E10" s="1">
        <v>179</v>
      </c>
      <c r="F10" s="13"/>
      <c r="G10" s="13"/>
      <c r="H10" s="18">
        <f t="shared" si="0"/>
        <v>1098</v>
      </c>
      <c r="I10" s="18">
        <f t="shared" si="1"/>
        <v>4296</v>
      </c>
      <c r="J10" s="18">
        <f t="shared" si="2"/>
        <v>1119.96</v>
      </c>
      <c r="K10" s="18">
        <f t="shared" si="3"/>
        <v>4381.92</v>
      </c>
      <c r="L10">
        <f t="shared" si="4"/>
        <v>21.960000000000036</v>
      </c>
      <c r="M10">
        <f t="shared" si="5"/>
        <v>85.920000000000073</v>
      </c>
    </row>
  </sheetData>
  <pageMargins left="0.7" right="0.7" top="0.75" bottom="0.75" header="0.3" footer="0.3"/>
  <headerFooter>
    <oddHeader>&amp;C&amp;"Aptos"&amp;1 &amp;KFF0000 डेटा वर्गीकरण : प्रतिबंधित/RESTRICTED#_x000D_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F13" sqref="F13"/>
    </sheetView>
  </sheetViews>
  <sheetFormatPr defaultRowHeight="14.25" x14ac:dyDescent="0.45"/>
  <cols>
    <col min="1" max="2" width="18.6640625" bestFit="1" customWidth="1"/>
    <col min="3" max="3" width="21.3984375" bestFit="1" customWidth="1"/>
  </cols>
  <sheetData>
    <row r="1" spans="1:3" ht="21" customHeight="1" x14ac:dyDescent="0.65">
      <c r="A1" s="8" t="s">
        <v>9</v>
      </c>
      <c r="B1" s="8" t="s">
        <v>13</v>
      </c>
      <c r="C1" s="8" t="s">
        <v>15</v>
      </c>
    </row>
    <row r="2" spans="1:3" ht="21" customHeight="1" x14ac:dyDescent="0.65">
      <c r="A2" s="1" t="s">
        <v>16</v>
      </c>
      <c r="B2" s="11" t="s">
        <v>17</v>
      </c>
      <c r="C2" s="11" t="s">
        <v>18</v>
      </c>
    </row>
    <row r="3" spans="1:3" ht="21" customHeight="1" x14ac:dyDescent="0.65">
      <c r="A3" s="11" t="s">
        <v>19</v>
      </c>
      <c r="B3" s="11" t="s">
        <v>20</v>
      </c>
      <c r="C3" s="11" t="s">
        <v>21</v>
      </c>
    </row>
    <row r="4" spans="1:3" ht="21" customHeight="1" x14ac:dyDescent="0.65">
      <c r="A4" s="11" t="s">
        <v>22</v>
      </c>
      <c r="B4" s="11" t="s">
        <v>23</v>
      </c>
      <c r="C4" s="11" t="s">
        <v>24</v>
      </c>
    </row>
    <row r="5" spans="1:3" ht="21" customHeight="1" x14ac:dyDescent="0.65">
      <c r="A5" s="11" t="s">
        <v>25</v>
      </c>
      <c r="B5" s="11" t="s">
        <v>26</v>
      </c>
      <c r="C5" s="11" t="s">
        <v>27</v>
      </c>
    </row>
    <row r="6" spans="1:3" ht="21" customHeight="1" x14ac:dyDescent="0.65">
      <c r="A6" s="1" t="s">
        <v>28</v>
      </c>
      <c r="B6" s="11" t="s">
        <v>29</v>
      </c>
      <c r="C6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15" sqref="F15"/>
    </sheetView>
  </sheetViews>
  <sheetFormatPr defaultColWidth="14.86328125" defaultRowHeight="14.25" x14ac:dyDescent="0.45"/>
  <cols>
    <col min="1" max="1" width="21.265625" bestFit="1" customWidth="1"/>
    <col min="2" max="2" width="35.3984375" customWidth="1"/>
    <col min="3" max="3" width="23.6640625" bestFit="1" customWidth="1"/>
    <col min="4" max="4" width="18.59765625" bestFit="1" customWidth="1"/>
    <col min="5" max="5" width="23.73046875" bestFit="1" customWidth="1"/>
  </cols>
  <sheetData>
    <row r="1" spans="1:6" x14ac:dyDescent="0.45">
      <c r="A1" s="12" t="s">
        <v>31</v>
      </c>
      <c r="B1" s="12" t="s">
        <v>32</v>
      </c>
      <c r="C1" s="12" t="s">
        <v>33</v>
      </c>
      <c r="D1" s="12" t="s">
        <v>34</v>
      </c>
      <c r="E1" s="16" t="s">
        <v>35</v>
      </c>
    </row>
    <row r="2" spans="1:6" x14ac:dyDescent="0.45">
      <c r="A2" s="13" t="s">
        <v>36</v>
      </c>
      <c r="B2" s="13" t="s">
        <v>37</v>
      </c>
      <c r="C2" s="13" t="s">
        <v>38</v>
      </c>
      <c r="D2" s="13" t="s">
        <v>39</v>
      </c>
      <c r="E2" t="s">
        <v>114</v>
      </c>
    </row>
    <row r="3" spans="1:6" x14ac:dyDescent="0.45">
      <c r="A3" s="13" t="s">
        <v>40</v>
      </c>
      <c r="B3" s="13" t="s">
        <v>41</v>
      </c>
      <c r="C3" s="13" t="s">
        <v>42</v>
      </c>
      <c r="D3" s="13" t="s">
        <v>43</v>
      </c>
      <c r="E3" t="s">
        <v>113</v>
      </c>
    </row>
    <row r="4" spans="1:6" x14ac:dyDescent="0.45">
      <c r="A4" s="13" t="s">
        <v>44</v>
      </c>
      <c r="B4" s="10" t="s">
        <v>45</v>
      </c>
      <c r="C4" s="14" t="s">
        <v>46</v>
      </c>
      <c r="D4" s="13" t="s">
        <v>47</v>
      </c>
      <c r="E4" t="s">
        <v>115</v>
      </c>
    </row>
    <row r="5" spans="1:6" x14ac:dyDescent="0.45">
      <c r="A5" s="13" t="s">
        <v>48</v>
      </c>
      <c r="B5" s="13" t="s">
        <v>49</v>
      </c>
      <c r="C5" s="14" t="s">
        <v>50</v>
      </c>
      <c r="D5" s="13" t="s">
        <v>51</v>
      </c>
      <c r="E5" t="s">
        <v>116</v>
      </c>
    </row>
    <row r="6" spans="1:6" x14ac:dyDescent="0.45">
      <c r="A6" s="13" t="s">
        <v>52</v>
      </c>
      <c r="B6" s="13" t="s">
        <v>53</v>
      </c>
      <c r="C6" s="14" t="s">
        <v>54</v>
      </c>
      <c r="D6" s="13" t="s">
        <v>55</v>
      </c>
      <c r="E6" t="s">
        <v>117</v>
      </c>
    </row>
    <row r="7" spans="1:6" x14ac:dyDescent="0.45">
      <c r="A7" s="13" t="s">
        <v>56</v>
      </c>
      <c r="B7" s="13" t="s">
        <v>57</v>
      </c>
      <c r="C7" s="14" t="s">
        <v>58</v>
      </c>
      <c r="D7" s="13" t="s">
        <v>59</v>
      </c>
      <c r="E7" t="s">
        <v>118</v>
      </c>
    </row>
    <row r="8" spans="1:6" x14ac:dyDescent="0.45">
      <c r="A8" s="13" t="s">
        <v>60</v>
      </c>
      <c r="B8" s="13" t="s">
        <v>61</v>
      </c>
      <c r="C8" s="14" t="s">
        <v>62</v>
      </c>
      <c r="D8" s="13" t="s">
        <v>63</v>
      </c>
      <c r="E8" t="s">
        <v>120</v>
      </c>
    </row>
    <row r="9" spans="1:6" x14ac:dyDescent="0.45">
      <c r="A9" s="13" t="s">
        <v>64</v>
      </c>
      <c r="B9" s="13" t="s">
        <v>65</v>
      </c>
      <c r="C9" s="14" t="s">
        <v>66</v>
      </c>
      <c r="D9" s="13" t="s">
        <v>67</v>
      </c>
      <c r="E9" t="s">
        <v>123</v>
      </c>
    </row>
    <row r="10" spans="1:6" x14ac:dyDescent="0.45">
      <c r="A10" s="13" t="s">
        <v>68</v>
      </c>
      <c r="B10" s="10" t="s">
        <v>69</v>
      </c>
      <c r="C10" s="14" t="s">
        <v>70</v>
      </c>
      <c r="D10" s="13" t="s">
        <v>71</v>
      </c>
      <c r="E10" t="s">
        <v>119</v>
      </c>
    </row>
    <row r="11" spans="1:6" x14ac:dyDescent="0.45">
      <c r="A11" s="13" t="s">
        <v>72</v>
      </c>
      <c r="B11" s="13" t="s">
        <v>73</v>
      </c>
      <c r="C11" s="14" t="s">
        <v>74</v>
      </c>
      <c r="D11" s="13" t="s">
        <v>75</v>
      </c>
      <c r="E11" t="s">
        <v>122</v>
      </c>
    </row>
    <row r="12" spans="1:6" x14ac:dyDescent="0.45">
      <c r="A12" s="13" t="s">
        <v>76</v>
      </c>
      <c r="B12" s="13" t="s">
        <v>77</v>
      </c>
      <c r="C12" s="14" t="s">
        <v>78</v>
      </c>
      <c r="D12" s="13" t="s">
        <v>79</v>
      </c>
      <c r="E12" t="s">
        <v>121</v>
      </c>
    </row>
    <row r="13" spans="1:6" x14ac:dyDescent="0.45">
      <c r="A13" s="13" t="s">
        <v>80</v>
      </c>
      <c r="B13" s="13" t="s">
        <v>81</v>
      </c>
      <c r="C13" s="14" t="s">
        <v>82</v>
      </c>
      <c r="D13" s="13" t="s">
        <v>83</v>
      </c>
      <c r="E13" t="s">
        <v>124</v>
      </c>
    </row>
    <row r="14" spans="1:6" x14ac:dyDescent="0.45">
      <c r="A14" s="13" t="s">
        <v>84</v>
      </c>
      <c r="B14" s="13" t="s">
        <v>85</v>
      </c>
      <c r="C14" s="14" t="s">
        <v>86</v>
      </c>
      <c r="D14" s="13" t="s">
        <v>87</v>
      </c>
      <c r="E14" t="s">
        <v>125</v>
      </c>
      <c r="F14" t="s">
        <v>127</v>
      </c>
    </row>
    <row r="15" spans="1:6" x14ac:dyDescent="0.45">
      <c r="A15" s="13" t="s">
        <v>88</v>
      </c>
      <c r="B15" s="13" t="s">
        <v>89</v>
      </c>
      <c r="C15" s="14" t="s">
        <v>90</v>
      </c>
      <c r="D15" s="13" t="s">
        <v>91</v>
      </c>
      <c r="E15" t="s">
        <v>126</v>
      </c>
      <c r="F15" t="s">
        <v>127</v>
      </c>
    </row>
    <row r="16" spans="1:6" x14ac:dyDescent="0.45">
      <c r="A16" s="13" t="s">
        <v>92</v>
      </c>
      <c r="B16" s="10" t="s">
        <v>93</v>
      </c>
      <c r="C16" s="14" t="s">
        <v>94</v>
      </c>
      <c r="D16" s="13" t="s">
        <v>95</v>
      </c>
      <c r="E16" t="s">
        <v>128</v>
      </c>
      <c r="F16" t="s">
        <v>127</v>
      </c>
    </row>
    <row r="17" spans="1:6" x14ac:dyDescent="0.45">
      <c r="A17" s="13" t="s">
        <v>96</v>
      </c>
      <c r="B17" s="13" t="s">
        <v>97</v>
      </c>
      <c r="C17" s="14" t="s">
        <v>98</v>
      </c>
      <c r="D17" s="13" t="s">
        <v>99</v>
      </c>
      <c r="E17" t="s">
        <v>129</v>
      </c>
      <c r="F17" t="s">
        <v>127</v>
      </c>
    </row>
    <row r="18" spans="1:6" x14ac:dyDescent="0.45">
      <c r="A18" s="13" t="s">
        <v>100</v>
      </c>
      <c r="B18" s="13" t="s">
        <v>101</v>
      </c>
      <c r="C18" s="14" t="s">
        <v>102</v>
      </c>
      <c r="D18" s="13" t="s">
        <v>103</v>
      </c>
      <c r="E18" t="s">
        <v>130</v>
      </c>
      <c r="F18" t="s">
        <v>127</v>
      </c>
    </row>
    <row r="19" spans="1:6" x14ac:dyDescent="0.45">
      <c r="A19" s="13" t="s">
        <v>104</v>
      </c>
      <c r="B19" s="13" t="s">
        <v>105</v>
      </c>
      <c r="C19" s="13" t="s">
        <v>106</v>
      </c>
      <c r="D19" s="15" t="s">
        <v>107</v>
      </c>
      <c r="E19" t="s">
        <v>131</v>
      </c>
      <c r="F19" t="s">
        <v>127</v>
      </c>
    </row>
  </sheetData>
  <hyperlinks>
    <hyperlink ref="B4" r:id="rId1" display="https://dashboard.razorpay.com/app/plans/plan_RtzCR5YH57053V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B10" r:id="rId8" display="https://dashboard.razorpay.com/app/plans/plan_RtzDgz8LWwDBWO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B16" r:id="rId15" display="https://dashboard.razorpay.com/app/plans/plan_RtzEdUvV5uguks" xr:uid="{00000000-0004-0000-0200-00000E000000}"/>
    <hyperlink ref="C16" r:id="rId16" xr:uid="{00000000-0004-0000-0200-00000F000000}"/>
    <hyperlink ref="C17" r:id="rId17" xr:uid="{00000000-0004-0000-0200-000010000000}"/>
    <hyperlink ref="C18" r:id="rId18" xr:uid="{00000000-0004-0000-0200-000011000000}"/>
    <hyperlink ref="D19" r:id="rId19" display="https://dashboard.razorpay.com/app/subscriptions/sub_Rv4IzhDwqwCcQf" xr:uid="{00000000-0004-0000-0200-00001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selection activeCell="M14" sqref="M14"/>
    </sheetView>
  </sheetViews>
  <sheetFormatPr defaultRowHeight="14.25" x14ac:dyDescent="0.45"/>
  <cols>
    <col min="1" max="1" width="12.1328125" bestFit="1" customWidth="1"/>
    <col min="2" max="2" width="8.33203125" bestFit="1" customWidth="1"/>
    <col min="3" max="3" width="18.9296875" bestFit="1" customWidth="1"/>
    <col min="4" max="5" width="15.86328125" bestFit="1" customWidth="1"/>
    <col min="6" max="7" width="13" hidden="1" customWidth="1"/>
    <col min="8" max="9" width="15.86328125" bestFit="1" customWidth="1"/>
    <col min="11" max="12" width="15.86328125" bestFit="1" customWidth="1"/>
  </cols>
  <sheetData>
    <row r="1" spans="1:12" ht="63" customHeight="1" x14ac:dyDescent="0.65">
      <c r="A1" s="26" t="s">
        <v>0</v>
      </c>
      <c r="B1" s="26" t="s">
        <v>1</v>
      </c>
      <c r="C1" s="25" t="s">
        <v>2</v>
      </c>
      <c r="D1" s="5" t="s">
        <v>108</v>
      </c>
      <c r="E1" s="5" t="s">
        <v>109</v>
      </c>
      <c r="H1" s="5" t="s">
        <v>108</v>
      </c>
      <c r="I1" s="5" t="s">
        <v>109</v>
      </c>
      <c r="K1" s="5" t="s">
        <v>108</v>
      </c>
      <c r="L1" s="5" t="s">
        <v>109</v>
      </c>
    </row>
    <row r="2" spans="1:12" ht="21" customHeight="1" x14ac:dyDescent="0.45">
      <c r="A2" s="24"/>
      <c r="B2" s="24"/>
      <c r="C2" s="24"/>
      <c r="D2" s="27" t="s">
        <v>110</v>
      </c>
      <c r="E2" s="28"/>
      <c r="H2" s="20" t="s">
        <v>111</v>
      </c>
      <c r="I2" s="21"/>
      <c r="K2" s="20" t="s">
        <v>112</v>
      </c>
      <c r="L2" s="21"/>
    </row>
    <row r="3" spans="1:12" ht="21" customHeight="1" x14ac:dyDescent="0.65">
      <c r="A3" s="22" t="s">
        <v>9</v>
      </c>
      <c r="B3" s="2" t="s">
        <v>10</v>
      </c>
      <c r="C3" s="2">
        <v>129</v>
      </c>
      <c r="D3" s="1">
        <v>75</v>
      </c>
      <c r="E3" s="1">
        <v>69</v>
      </c>
      <c r="H3" s="3">
        <f>D3/200</f>
        <v>0.375</v>
      </c>
      <c r="I3" s="3">
        <f>E3/200</f>
        <v>0.34499999999999997</v>
      </c>
      <c r="K3" s="7">
        <f t="shared" ref="K3:K11" si="0">1-D3/C3</f>
        <v>0.41860465116279066</v>
      </c>
      <c r="L3" s="7">
        <f t="shared" ref="L3:L11" si="1">1-E3/C3</f>
        <v>0.46511627906976749</v>
      </c>
    </row>
    <row r="4" spans="1:12" ht="21" customHeight="1" x14ac:dyDescent="0.65">
      <c r="A4" s="23"/>
      <c r="B4" s="2" t="s">
        <v>11</v>
      </c>
      <c r="C4" s="2">
        <v>159</v>
      </c>
      <c r="D4" s="1">
        <v>99</v>
      </c>
      <c r="E4" s="1">
        <v>89</v>
      </c>
      <c r="H4" s="3">
        <f>D4/300</f>
        <v>0.33</v>
      </c>
      <c r="I4" s="3">
        <f>E4/300</f>
        <v>0.29666666666666669</v>
      </c>
      <c r="K4" s="7">
        <f t="shared" si="0"/>
        <v>0.37735849056603776</v>
      </c>
      <c r="L4" s="7">
        <f t="shared" si="1"/>
        <v>0.44025157232704404</v>
      </c>
    </row>
    <row r="5" spans="1:12" ht="21" customHeight="1" x14ac:dyDescent="0.65">
      <c r="A5" s="24"/>
      <c r="B5" s="2" t="s">
        <v>12</v>
      </c>
      <c r="C5" s="2">
        <v>220</v>
      </c>
      <c r="D5" s="1">
        <v>169</v>
      </c>
      <c r="E5" s="1">
        <v>149</v>
      </c>
      <c r="H5" s="3">
        <f>D5/500</f>
        <v>0.33800000000000002</v>
      </c>
      <c r="I5" s="3">
        <f>E5/500</f>
        <v>0.29799999999999999</v>
      </c>
      <c r="K5" s="7">
        <f t="shared" si="0"/>
        <v>0.23181818181818181</v>
      </c>
      <c r="L5" s="7">
        <f t="shared" si="1"/>
        <v>0.32272727272727275</v>
      </c>
    </row>
    <row r="6" spans="1:12" ht="21" customHeight="1" x14ac:dyDescent="0.65">
      <c r="A6" s="22" t="s">
        <v>13</v>
      </c>
      <c r="B6" s="2" t="s">
        <v>10</v>
      </c>
      <c r="C6" s="6">
        <f t="shared" ref="C6:C11" si="2">C3*1.1</f>
        <v>141.9</v>
      </c>
      <c r="D6" s="1">
        <v>80</v>
      </c>
      <c r="E6" s="1">
        <v>75</v>
      </c>
      <c r="H6" s="3">
        <f>D6/200</f>
        <v>0.4</v>
      </c>
      <c r="I6" s="3">
        <f>E6/200</f>
        <v>0.375</v>
      </c>
      <c r="K6" s="7">
        <f t="shared" si="0"/>
        <v>0.43622269203664554</v>
      </c>
      <c r="L6" s="7">
        <f t="shared" si="1"/>
        <v>0.47145877378435519</v>
      </c>
    </row>
    <row r="7" spans="1:12" ht="21" customHeight="1" x14ac:dyDescent="0.65">
      <c r="A7" s="23"/>
      <c r="B7" s="2" t="s">
        <v>11</v>
      </c>
      <c r="C7" s="6">
        <f t="shared" si="2"/>
        <v>174.9</v>
      </c>
      <c r="D7" s="1">
        <v>105</v>
      </c>
      <c r="E7" s="1">
        <v>95</v>
      </c>
      <c r="H7" s="3">
        <f>D7/300</f>
        <v>0.35</v>
      </c>
      <c r="I7" s="3">
        <f>E7/300</f>
        <v>0.31666666666666665</v>
      </c>
      <c r="K7" s="7">
        <f t="shared" si="0"/>
        <v>0.39965694682675812</v>
      </c>
      <c r="L7" s="7">
        <f t="shared" si="1"/>
        <v>0.4568324757004002</v>
      </c>
    </row>
    <row r="8" spans="1:12" ht="21" customHeight="1" x14ac:dyDescent="0.65">
      <c r="A8" s="24"/>
      <c r="B8" s="2" t="s">
        <v>12</v>
      </c>
      <c r="C8" s="6">
        <f t="shared" si="2"/>
        <v>242.00000000000003</v>
      </c>
      <c r="D8" s="1">
        <v>173</v>
      </c>
      <c r="E8" s="1">
        <v>169</v>
      </c>
      <c r="H8" s="3">
        <f>D8/500</f>
        <v>0.34599999999999997</v>
      </c>
      <c r="I8" s="3">
        <f>E8/500</f>
        <v>0.33800000000000002</v>
      </c>
      <c r="K8" s="7">
        <f t="shared" si="0"/>
        <v>0.28512396694214881</v>
      </c>
      <c r="L8" s="7">
        <f t="shared" si="1"/>
        <v>0.30165289256198358</v>
      </c>
    </row>
    <row r="9" spans="1:12" ht="21" customHeight="1" x14ac:dyDescent="0.65">
      <c r="A9" s="22" t="s">
        <v>14</v>
      </c>
      <c r="B9" s="2" t="s">
        <v>10</v>
      </c>
      <c r="C9" s="6">
        <f t="shared" si="2"/>
        <v>156.09000000000003</v>
      </c>
      <c r="D9" s="1">
        <v>90</v>
      </c>
      <c r="E9" s="1">
        <v>83</v>
      </c>
      <c r="H9" s="3">
        <f>D9/200</f>
        <v>0.45</v>
      </c>
      <c r="I9" s="3">
        <f>E9/200</f>
        <v>0.41499999999999998</v>
      </c>
      <c r="K9" s="7">
        <f t="shared" si="0"/>
        <v>0.4234095714011149</v>
      </c>
      <c r="L9" s="7">
        <f t="shared" si="1"/>
        <v>0.46825549362547259</v>
      </c>
    </row>
    <row r="10" spans="1:12" ht="21" customHeight="1" x14ac:dyDescent="0.65">
      <c r="A10" s="23"/>
      <c r="B10" s="2" t="s">
        <v>11</v>
      </c>
      <c r="C10" s="6">
        <f t="shared" si="2"/>
        <v>192.39000000000001</v>
      </c>
      <c r="D10" s="1">
        <v>109</v>
      </c>
      <c r="E10" s="1">
        <v>99</v>
      </c>
      <c r="H10" s="3">
        <f>D10/300</f>
        <v>0.36333333333333334</v>
      </c>
      <c r="I10" s="3">
        <f>E10/300</f>
        <v>0.33</v>
      </c>
      <c r="K10" s="7">
        <f t="shared" si="0"/>
        <v>0.43344248661572848</v>
      </c>
      <c r="L10" s="7">
        <f t="shared" si="1"/>
        <v>0.48542024013722129</v>
      </c>
    </row>
    <row r="11" spans="1:12" ht="21" customHeight="1" x14ac:dyDescent="0.65">
      <c r="A11" s="24"/>
      <c r="B11" s="2" t="s">
        <v>12</v>
      </c>
      <c r="C11" s="6">
        <f t="shared" si="2"/>
        <v>266.20000000000005</v>
      </c>
      <c r="D11" s="1">
        <v>183</v>
      </c>
      <c r="E11" s="1">
        <v>179</v>
      </c>
      <c r="H11" s="3">
        <f>D11/500</f>
        <v>0.36599999999999999</v>
      </c>
      <c r="I11" s="3">
        <f>E11/500</f>
        <v>0.35799999999999998</v>
      </c>
      <c r="K11" s="7">
        <f t="shared" si="0"/>
        <v>0.31254695717505643</v>
      </c>
      <c r="L11" s="7">
        <f t="shared" si="1"/>
        <v>0.32757325319308805</v>
      </c>
    </row>
  </sheetData>
  <mergeCells count="9">
    <mergeCell ref="A9:A11"/>
    <mergeCell ref="A1:A2"/>
    <mergeCell ref="H2:I2"/>
    <mergeCell ref="D2:E2"/>
    <mergeCell ref="K2:L2"/>
    <mergeCell ref="A3:A5"/>
    <mergeCell ref="C1:C2"/>
    <mergeCell ref="B1:B2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pricing</vt:lpstr>
      <vt:lpstr>categories</vt:lpstr>
      <vt:lpstr>urls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Hotwani</dc:creator>
  <cp:lastModifiedBy>Bharat Hotwani {भरत होतवानी}</cp:lastModifiedBy>
  <dcterms:created xsi:type="dcterms:W3CDTF">2015-06-05T18:17:20Z</dcterms:created>
  <dcterms:modified xsi:type="dcterms:W3CDTF">2026-03-27T18:38:27Z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5961ef-6ad8-4ebf-ac83-5a6f539b3711_Enabled">
    <vt:lpwstr>true</vt:lpwstr>
  </property>
  <property fmtid="{D5CDD505-2E9C-101B-9397-08002B2CF9AE}" pid="3" name="MSIP_Label_1e5961ef-6ad8-4ebf-ac83-5a6f539b3711_SetDate">
    <vt:lpwstr>2025-12-19T19:43:02Z</vt:lpwstr>
  </property>
  <property fmtid="{D5CDD505-2E9C-101B-9397-08002B2CF9AE}" pid="4" name="MSIP_Label_1e5961ef-6ad8-4ebf-ac83-5a6f539b3711_Method">
    <vt:lpwstr>Privileged</vt:lpwstr>
  </property>
  <property fmtid="{D5CDD505-2E9C-101B-9397-08002B2CF9AE}" pid="5" name="MSIP_Label_1e5961ef-6ad8-4ebf-ac83-5a6f539b3711_Name">
    <vt:lpwstr>Restricted-IT</vt:lpwstr>
  </property>
  <property fmtid="{D5CDD505-2E9C-101B-9397-08002B2CF9AE}" pid="6" name="MSIP_Label_1e5961ef-6ad8-4ebf-ac83-5a6f539b3711_SiteId">
    <vt:lpwstr>7048075c-52c2-4a40-8e7c-5c5a5573c87f</vt:lpwstr>
  </property>
  <property fmtid="{D5CDD505-2E9C-101B-9397-08002B2CF9AE}" pid="7" name="MSIP_Label_1e5961ef-6ad8-4ebf-ac83-5a6f539b3711_ActionId">
    <vt:lpwstr>73d7e1b9-a840-4925-a85f-29707499c067</vt:lpwstr>
  </property>
  <property fmtid="{D5CDD505-2E9C-101B-9397-08002B2CF9AE}" pid="8" name="MSIP_Label_1e5961ef-6ad8-4ebf-ac83-5a6f539b3711_ContentBits">
    <vt:lpwstr>1</vt:lpwstr>
  </property>
  <property fmtid="{D5CDD505-2E9C-101B-9397-08002B2CF9AE}" pid="9" name="MSIP_Label_1e5961ef-6ad8-4ebf-ac83-5a6f539b3711_Tag">
    <vt:lpwstr>10, 0, 1, 1</vt:lpwstr>
  </property>
</Properties>
</file>